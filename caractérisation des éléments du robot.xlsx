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4db8aa255396203/Bureau/Pops/3_eme_annee/DesignFPGA/"/>
    </mc:Choice>
  </mc:AlternateContent>
  <xr:revisionPtr revIDLastSave="13" documentId="11_1D6A018F450D562CECE84EDAB165D8C44E95DE45" xr6:coauthVersionLast="47" xr6:coauthVersionMax="47" xr10:uidLastSave="{C3571A4B-55D0-43F9-925D-F8E353A8637A}"/>
  <bookViews>
    <workbookView xWindow="-108" yWindow="-108" windowWidth="23256" windowHeight="13176" activeTab="1" xr2:uid="{00000000-000D-0000-FFFF-FFFF00000000}"/>
  </bookViews>
  <sheets>
    <sheet name="moteur" sheetId="1" r:id="rId1"/>
    <sheet name="L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2" l="1"/>
  <c r="P5" i="2"/>
  <c r="P6" i="2"/>
  <c r="P7" i="2"/>
  <c r="P8" i="2"/>
  <c r="P9" i="2"/>
  <c r="P3" i="2"/>
  <c r="C27" i="2"/>
  <c r="O8" i="2" s="1"/>
  <c r="F27" i="2"/>
  <c r="N9" i="2" s="1"/>
  <c r="G27" i="2"/>
  <c r="O9" i="2" s="1"/>
  <c r="B27" i="2"/>
  <c r="N8" i="2" s="1"/>
  <c r="C18" i="2"/>
  <c r="O6" i="2" s="1"/>
  <c r="F18" i="2"/>
  <c r="N7" i="2" s="1"/>
  <c r="G18" i="2"/>
  <c r="O7" i="2" s="1"/>
  <c r="B18" i="2"/>
  <c r="N6" i="2" s="1"/>
  <c r="F9" i="2"/>
  <c r="N4" i="2" s="1"/>
  <c r="G9" i="2"/>
  <c r="O4" i="2" s="1"/>
  <c r="J9" i="2"/>
  <c r="N5" i="2" s="1"/>
  <c r="K9" i="2"/>
  <c r="O5" i="2" s="1"/>
  <c r="C9" i="2"/>
  <c r="O3" i="2" s="1"/>
  <c r="B9" i="2"/>
  <c r="N3" i="2" s="1"/>
  <c r="N11" i="2" l="1"/>
  <c r="N13" i="2" s="1"/>
  <c r="O11" i="2"/>
  <c r="N10" i="2"/>
  <c r="O10" i="2"/>
</calcChain>
</file>

<file path=xl/sharedStrings.xml><?xml version="1.0" encoding="utf-8"?>
<sst xmlns="http://schemas.openxmlformats.org/spreadsheetml/2006/main" count="66" uniqueCount="30">
  <si>
    <t>Moteur Gauche</t>
  </si>
  <si>
    <t xml:space="preserve">Moteur Droit </t>
  </si>
  <si>
    <t xml:space="preserve">Valeur Min </t>
  </si>
  <si>
    <t>Hors sol</t>
  </si>
  <si>
    <t xml:space="preserve">Sans piles </t>
  </si>
  <si>
    <t xml:space="preserve">Avec piles </t>
  </si>
  <si>
    <t>sn</t>
  </si>
  <si>
    <t>16070009-0177</t>
  </si>
  <si>
    <t>Marche avant</t>
  </si>
  <si>
    <t>Marche arrière</t>
  </si>
  <si>
    <t xml:space="preserve">Valeur Blanc </t>
  </si>
  <si>
    <t>Valeur Noir</t>
  </si>
  <si>
    <t>Capteur 0</t>
  </si>
  <si>
    <t>Prise de mesure n°</t>
  </si>
  <si>
    <t>Capteur 1</t>
  </si>
  <si>
    <t>Capteur 2</t>
  </si>
  <si>
    <t>Capteur 3</t>
  </si>
  <si>
    <t>Capteur 4</t>
  </si>
  <si>
    <t>Capteur 5</t>
  </si>
  <si>
    <t>Capteur 6</t>
  </si>
  <si>
    <t>les valeurs sont en décimal</t>
  </si>
  <si>
    <t xml:space="preserve">Moyenne </t>
  </si>
  <si>
    <t>Valeur blanc</t>
  </si>
  <si>
    <t>Valeur noir</t>
  </si>
  <si>
    <t>Capteur</t>
  </si>
  <si>
    <t>Min</t>
  </si>
  <si>
    <t>Max</t>
  </si>
  <si>
    <t>Seuil</t>
  </si>
  <si>
    <t xml:space="preserve">sn </t>
  </si>
  <si>
    <t>16070009-0195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</si>
</sst>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Valeur moyenne du</a:t>
            </a:r>
            <a:r>
              <a:rPr lang="fr-FR" baseline="0"/>
              <a:t> noir et du blanc en fonction de chaque capteur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LED!$N$2</c:f>
              <c:strCache>
                <c:ptCount val="1"/>
                <c:pt idx="0">
                  <c:v>Valeur blanc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LED!$M$3:$M$9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LED!$N$3:$N$9</c:f>
              <c:numCache>
                <c:formatCode>General</c:formatCode>
                <c:ptCount val="7"/>
                <c:pt idx="0">
                  <c:v>9.4</c:v>
                </c:pt>
                <c:pt idx="1">
                  <c:v>8.4</c:v>
                </c:pt>
                <c:pt idx="2">
                  <c:v>8</c:v>
                </c:pt>
                <c:pt idx="3">
                  <c:v>8.1999999999999993</c:v>
                </c:pt>
                <c:pt idx="4">
                  <c:v>8.6</c:v>
                </c:pt>
                <c:pt idx="5">
                  <c:v>9</c:v>
                </c:pt>
                <c:pt idx="6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2A-41C6-891E-5C0E3EB5F624}"/>
            </c:ext>
          </c:extLst>
        </c:ser>
        <c:ser>
          <c:idx val="1"/>
          <c:order val="1"/>
          <c:tx>
            <c:strRef>
              <c:f>LED!$O$2</c:f>
              <c:strCache>
                <c:ptCount val="1"/>
                <c:pt idx="0">
                  <c:v>Valeur noir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LED!$M$3:$M$9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LED!$O$3:$O$10</c:f>
              <c:numCache>
                <c:formatCode>General</c:formatCode>
                <c:ptCount val="8"/>
                <c:pt idx="0">
                  <c:v>206.8</c:v>
                </c:pt>
                <c:pt idx="1">
                  <c:v>204.8</c:v>
                </c:pt>
                <c:pt idx="2">
                  <c:v>203.2</c:v>
                </c:pt>
                <c:pt idx="3">
                  <c:v>201.6</c:v>
                </c:pt>
                <c:pt idx="4">
                  <c:v>205.4</c:v>
                </c:pt>
                <c:pt idx="5">
                  <c:v>208</c:v>
                </c:pt>
                <c:pt idx="6">
                  <c:v>208.8</c:v>
                </c:pt>
                <c:pt idx="7">
                  <c:v>201.6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2A-41C6-891E-5C0E3EB5F624}"/>
            </c:ext>
          </c:extLst>
        </c:ser>
        <c:ser>
          <c:idx val="2"/>
          <c:order val="2"/>
          <c:tx>
            <c:v>valeur seuil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LED!$M$3:$M$9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LED!$P$3:$P$9</c:f>
              <c:numCache>
                <c:formatCode>General</c:formatCode>
                <c:ptCount val="7"/>
                <c:pt idx="0">
                  <c:v>105.5</c:v>
                </c:pt>
                <c:pt idx="1">
                  <c:v>105.5</c:v>
                </c:pt>
                <c:pt idx="2">
                  <c:v>105.5</c:v>
                </c:pt>
                <c:pt idx="3">
                  <c:v>105.5</c:v>
                </c:pt>
                <c:pt idx="4">
                  <c:v>105.5</c:v>
                </c:pt>
                <c:pt idx="5">
                  <c:v>105.5</c:v>
                </c:pt>
                <c:pt idx="6">
                  <c:v>105.5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33-4E0B-9052-26AA2A55A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8204784"/>
        <c:axId val="1288193136"/>
      </c:scatterChart>
      <c:valAx>
        <c:axId val="1288204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Numéro du capteur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88193136"/>
        <c:crosses val="autoZero"/>
        <c:crossBetween val="midCat"/>
      </c:valAx>
      <c:valAx>
        <c:axId val="128819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Valeur moyenne</a:t>
                </a:r>
                <a:r>
                  <a:rPr lang="fr-FR" baseline="0"/>
                  <a:t> du noir et du blanc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88204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215789</xdr:colOff>
      <xdr:row>13</xdr:row>
      <xdr:rowOff>171450</xdr:rowOff>
    </xdr:from>
    <xdr:to>
      <xdr:col>15</xdr:col>
      <xdr:colOff>1</xdr:colOff>
      <xdr:row>30</xdr:row>
      <xdr:rowOff>134868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selection activeCell="D8" sqref="D8"/>
    </sheetView>
  </sheetViews>
  <sheetFormatPr baseColWidth="10" defaultColWidth="8.88671875" defaultRowHeight="14.4" x14ac:dyDescent="0.3"/>
  <cols>
    <col min="1" max="1" width="15.44140625" style="1" customWidth="1"/>
    <col min="2" max="2" width="19.88671875" style="1" customWidth="1"/>
    <col min="3" max="3" width="17.33203125" style="1" customWidth="1"/>
    <col min="4" max="4" width="12.33203125" style="1" customWidth="1"/>
    <col min="5" max="5" width="8.88671875" style="1"/>
    <col min="6" max="6" width="17.88671875" style="1" customWidth="1"/>
    <col min="7" max="16384" width="8.88671875" style="1"/>
  </cols>
  <sheetData>
    <row r="1" spans="1:6" x14ac:dyDescent="0.3">
      <c r="A1" s="18" t="s">
        <v>9</v>
      </c>
      <c r="B1" s="18"/>
      <c r="C1" s="18"/>
      <c r="D1" s="18"/>
      <c r="E1" s="18"/>
      <c r="F1" s="18"/>
    </row>
    <row r="2" spans="1:6" x14ac:dyDescent="0.3">
      <c r="A2" s="1">
        <v>4003000</v>
      </c>
      <c r="B2" s="1">
        <v>4003010</v>
      </c>
    </row>
    <row r="3" spans="1:6" x14ac:dyDescent="0.3">
      <c r="A3" s="1" t="s">
        <v>0</v>
      </c>
      <c r="B3" s="1" t="s">
        <v>1</v>
      </c>
      <c r="E3" s="1" t="s">
        <v>6</v>
      </c>
      <c r="F3" s="1" t="s">
        <v>7</v>
      </c>
    </row>
    <row r="4" spans="1:6" x14ac:dyDescent="0.3">
      <c r="A4" s="1">
        <v>3800</v>
      </c>
      <c r="B4" s="1">
        <v>3780</v>
      </c>
      <c r="C4" s="1" t="s">
        <v>2</v>
      </c>
      <c r="D4" s="1" t="s">
        <v>3</v>
      </c>
    </row>
    <row r="5" spans="1:6" x14ac:dyDescent="0.3">
      <c r="C5" s="1" t="s">
        <v>2</v>
      </c>
      <c r="D5" s="1" t="s">
        <v>4</v>
      </c>
    </row>
    <row r="6" spans="1:6" x14ac:dyDescent="0.3">
      <c r="A6" s="1">
        <v>3800</v>
      </c>
      <c r="B6" s="1">
        <v>3800</v>
      </c>
      <c r="C6" s="1" t="s">
        <v>2</v>
      </c>
      <c r="D6" s="1" t="s">
        <v>5</v>
      </c>
    </row>
    <row r="9" spans="1:6" x14ac:dyDescent="0.3">
      <c r="A9" s="18" t="s">
        <v>8</v>
      </c>
      <c r="B9" s="18"/>
      <c r="C9" s="18"/>
      <c r="D9" s="18"/>
      <c r="E9" s="18"/>
      <c r="F9" s="18"/>
    </row>
    <row r="10" spans="1:6" x14ac:dyDescent="0.3">
      <c r="A10" s="1">
        <v>4003000</v>
      </c>
      <c r="B10" s="1">
        <v>4003010</v>
      </c>
    </row>
    <row r="11" spans="1:6" x14ac:dyDescent="0.3">
      <c r="A11" s="1" t="s">
        <v>0</v>
      </c>
      <c r="B11" s="1" t="s">
        <v>1</v>
      </c>
      <c r="E11" s="1" t="s">
        <v>6</v>
      </c>
      <c r="F11" s="1" t="s">
        <v>7</v>
      </c>
    </row>
    <row r="12" spans="1:6" x14ac:dyDescent="0.3">
      <c r="A12" s="1">
        <v>3800</v>
      </c>
      <c r="B12" s="1">
        <v>3780</v>
      </c>
      <c r="C12" s="1" t="s">
        <v>2</v>
      </c>
      <c r="D12" s="1" t="s">
        <v>3</v>
      </c>
    </row>
    <row r="13" spans="1:6" x14ac:dyDescent="0.3">
      <c r="C13" s="1" t="s">
        <v>2</v>
      </c>
      <c r="D13" s="1" t="s">
        <v>4</v>
      </c>
    </row>
    <row r="14" spans="1:6" x14ac:dyDescent="0.3">
      <c r="A14" s="1">
        <v>3800</v>
      </c>
      <c r="B14" s="1">
        <v>3800</v>
      </c>
      <c r="C14" s="1" t="s">
        <v>2</v>
      </c>
      <c r="D14" s="1" t="s">
        <v>5</v>
      </c>
    </row>
  </sheetData>
  <mergeCells count="2">
    <mergeCell ref="A1:F1"/>
    <mergeCell ref="A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7"/>
  <sheetViews>
    <sheetView tabSelected="1" zoomScale="71" workbookViewId="0">
      <selection activeCell="O34" sqref="O34"/>
    </sheetView>
  </sheetViews>
  <sheetFormatPr baseColWidth="10" defaultColWidth="11.44140625" defaultRowHeight="14.4" x14ac:dyDescent="0.3"/>
  <cols>
    <col min="1" max="1" width="11.6640625" style="2" customWidth="1"/>
    <col min="2" max="2" width="15" style="2" customWidth="1"/>
    <col min="3" max="3" width="13.109375" style="2" customWidth="1"/>
    <col min="4" max="16384" width="11.44140625" style="2"/>
  </cols>
  <sheetData>
    <row r="1" spans="1:16" ht="20.25" customHeight="1" thickBot="1" x14ac:dyDescent="0.35">
      <c r="A1" s="19" t="s">
        <v>20</v>
      </c>
      <c r="B1" s="19"/>
      <c r="C1" s="19"/>
      <c r="E1" s="2" t="s">
        <v>28</v>
      </c>
      <c r="F1" s="20" t="s">
        <v>29</v>
      </c>
      <c r="G1" s="20"/>
    </row>
    <row r="2" spans="1:16" x14ac:dyDescent="0.3">
      <c r="A2" s="2" t="s">
        <v>12</v>
      </c>
      <c r="B2" s="2" t="s">
        <v>10</v>
      </c>
      <c r="C2" s="2" t="s">
        <v>11</v>
      </c>
      <c r="E2" s="2" t="s">
        <v>14</v>
      </c>
      <c r="F2" s="2" t="s">
        <v>10</v>
      </c>
      <c r="G2" s="2" t="s">
        <v>11</v>
      </c>
      <c r="I2" s="2" t="s">
        <v>15</v>
      </c>
      <c r="J2" s="2" t="s">
        <v>10</v>
      </c>
      <c r="K2" s="2" t="s">
        <v>11</v>
      </c>
      <c r="M2" s="6" t="s">
        <v>24</v>
      </c>
      <c r="N2" s="7" t="s">
        <v>22</v>
      </c>
      <c r="O2" s="8" t="s">
        <v>23</v>
      </c>
    </row>
    <row r="3" spans="1:16" ht="28.8" x14ac:dyDescent="0.3">
      <c r="A3" s="2" t="s">
        <v>13</v>
      </c>
      <c r="B3" s="3"/>
      <c r="C3" s="3"/>
      <c r="E3" s="2" t="s">
        <v>13</v>
      </c>
      <c r="F3" s="3"/>
      <c r="G3" s="3"/>
      <c r="I3" s="2" t="s">
        <v>13</v>
      </c>
      <c r="J3" s="3"/>
      <c r="K3" s="3"/>
      <c r="M3" s="9">
        <v>0</v>
      </c>
      <c r="N3" s="4">
        <f>B9</f>
        <v>9.4</v>
      </c>
      <c r="O3" s="10">
        <f>C9</f>
        <v>206.8</v>
      </c>
      <c r="P3" s="21">
        <f>$N$13</f>
        <v>105.5</v>
      </c>
    </row>
    <row r="4" spans="1:16" x14ac:dyDescent="0.3">
      <c r="A4" s="2">
        <v>1</v>
      </c>
      <c r="B4" s="2">
        <v>9</v>
      </c>
      <c r="C4" s="2">
        <v>207</v>
      </c>
      <c r="E4" s="2">
        <v>1</v>
      </c>
      <c r="F4" s="2">
        <v>9</v>
      </c>
      <c r="G4" s="2">
        <v>205</v>
      </c>
      <c r="I4" s="2">
        <v>1</v>
      </c>
      <c r="J4" s="2">
        <v>8</v>
      </c>
      <c r="K4" s="2">
        <v>201</v>
      </c>
      <c r="M4" s="9">
        <v>1</v>
      </c>
      <c r="N4" s="4">
        <f>F9</f>
        <v>8.4</v>
      </c>
      <c r="O4" s="10">
        <f>G9</f>
        <v>204.8</v>
      </c>
      <c r="P4" s="21">
        <f t="shared" ref="P4:P9" si="0">$N$13</f>
        <v>105.5</v>
      </c>
    </row>
    <row r="5" spans="1:16" x14ac:dyDescent="0.3">
      <c r="A5" s="2">
        <v>2</v>
      </c>
      <c r="B5" s="2">
        <v>11</v>
      </c>
      <c r="C5" s="2">
        <v>205</v>
      </c>
      <c r="E5" s="2">
        <v>2</v>
      </c>
      <c r="F5" s="2">
        <v>10</v>
      </c>
      <c r="G5" s="2">
        <v>211</v>
      </c>
      <c r="I5" s="2">
        <v>2</v>
      </c>
      <c r="J5" s="2">
        <v>7</v>
      </c>
      <c r="K5" s="2">
        <v>207</v>
      </c>
      <c r="M5" s="9">
        <v>2</v>
      </c>
      <c r="N5" s="4">
        <f>J9</f>
        <v>8</v>
      </c>
      <c r="O5" s="10">
        <f>K9</f>
        <v>203.2</v>
      </c>
      <c r="P5" s="21">
        <f t="shared" si="0"/>
        <v>105.5</v>
      </c>
    </row>
    <row r="6" spans="1:16" x14ac:dyDescent="0.3">
      <c r="A6" s="2">
        <v>3</v>
      </c>
      <c r="B6" s="2">
        <v>9</v>
      </c>
      <c r="C6" s="2">
        <v>215</v>
      </c>
      <c r="E6" s="2">
        <v>3</v>
      </c>
      <c r="F6" s="2">
        <v>7</v>
      </c>
      <c r="G6" s="2">
        <v>207</v>
      </c>
      <c r="I6" s="2">
        <v>3</v>
      </c>
      <c r="J6" s="2">
        <v>9</v>
      </c>
      <c r="K6" s="2">
        <v>205</v>
      </c>
      <c r="M6" s="9">
        <v>3</v>
      </c>
      <c r="N6" s="4">
        <f>B18</f>
        <v>8.1999999999999993</v>
      </c>
      <c r="O6" s="10">
        <f>C18</f>
        <v>201.6</v>
      </c>
      <c r="P6" s="21">
        <f t="shared" si="0"/>
        <v>105.5</v>
      </c>
    </row>
    <row r="7" spans="1:16" x14ac:dyDescent="0.3">
      <c r="A7" s="2">
        <v>4</v>
      </c>
      <c r="B7" s="2">
        <v>9</v>
      </c>
      <c r="C7" s="2">
        <v>204</v>
      </c>
      <c r="E7" s="2">
        <v>4</v>
      </c>
      <c r="F7" s="2">
        <v>8</v>
      </c>
      <c r="G7" s="2">
        <v>198</v>
      </c>
      <c r="I7" s="2">
        <v>4</v>
      </c>
      <c r="J7" s="2">
        <v>9</v>
      </c>
      <c r="K7" s="2">
        <v>200</v>
      </c>
      <c r="M7" s="9">
        <v>4</v>
      </c>
      <c r="N7" s="4">
        <f>F18</f>
        <v>8.6</v>
      </c>
      <c r="O7" s="10">
        <f>G18</f>
        <v>205.4</v>
      </c>
      <c r="P7" s="21">
        <f t="shared" si="0"/>
        <v>105.5</v>
      </c>
    </row>
    <row r="8" spans="1:16" x14ac:dyDescent="0.3">
      <c r="A8" s="2">
        <v>5</v>
      </c>
      <c r="B8" s="2">
        <v>9</v>
      </c>
      <c r="C8" s="2">
        <v>203</v>
      </c>
      <c r="E8" s="2">
        <v>5</v>
      </c>
      <c r="F8" s="2">
        <v>8</v>
      </c>
      <c r="G8" s="2">
        <v>203</v>
      </c>
      <c r="I8" s="2">
        <v>5</v>
      </c>
      <c r="J8" s="2">
        <v>7</v>
      </c>
      <c r="K8" s="2">
        <v>203</v>
      </c>
      <c r="M8" s="9">
        <v>5</v>
      </c>
      <c r="N8" s="4">
        <f>B27</f>
        <v>9</v>
      </c>
      <c r="O8" s="10">
        <f>C27</f>
        <v>208</v>
      </c>
      <c r="P8" s="21">
        <f t="shared" si="0"/>
        <v>105.5</v>
      </c>
    </row>
    <row r="9" spans="1:16" x14ac:dyDescent="0.3">
      <c r="A9" s="2" t="s">
        <v>21</v>
      </c>
      <c r="B9" s="2">
        <f>AVERAGE(B4:B8)</f>
        <v>9.4</v>
      </c>
      <c r="C9" s="2">
        <f>AVERAGE(C4:C8)</f>
        <v>206.8</v>
      </c>
      <c r="E9" s="2" t="s">
        <v>21</v>
      </c>
      <c r="F9" s="2">
        <f t="shared" ref="F9:K9" si="1">AVERAGE(F4:F8)</f>
        <v>8.4</v>
      </c>
      <c r="G9" s="2">
        <f t="shared" si="1"/>
        <v>204.8</v>
      </c>
      <c r="I9" s="2" t="s">
        <v>21</v>
      </c>
      <c r="J9" s="2">
        <f t="shared" si="1"/>
        <v>8</v>
      </c>
      <c r="K9" s="2">
        <f t="shared" si="1"/>
        <v>203.2</v>
      </c>
      <c r="M9" s="9">
        <v>6</v>
      </c>
      <c r="N9" s="4">
        <f>F27</f>
        <v>9</v>
      </c>
      <c r="O9" s="10">
        <f>G27</f>
        <v>208.8</v>
      </c>
      <c r="P9" s="21">
        <f t="shared" si="0"/>
        <v>105.5</v>
      </c>
    </row>
    <row r="10" spans="1:16" x14ac:dyDescent="0.3">
      <c r="M10" s="9" t="s">
        <v>25</v>
      </c>
      <c r="N10" s="5">
        <f>MIN(N3:N9)</f>
        <v>8</v>
      </c>
      <c r="O10" s="10">
        <f>MIN(O3:O9)</f>
        <v>201.6</v>
      </c>
    </row>
    <row r="11" spans="1:16" x14ac:dyDescent="0.3">
      <c r="A11" s="2" t="s">
        <v>16</v>
      </c>
      <c r="B11" s="2" t="s">
        <v>10</v>
      </c>
      <c r="C11" s="2" t="s">
        <v>11</v>
      </c>
      <c r="E11" s="2" t="s">
        <v>17</v>
      </c>
      <c r="F11" s="2" t="s">
        <v>10</v>
      </c>
      <c r="G11" s="2" t="s">
        <v>11</v>
      </c>
      <c r="M11" s="9" t="s">
        <v>26</v>
      </c>
      <c r="N11" s="4">
        <f>MAX(N3:N9)</f>
        <v>9.4</v>
      </c>
      <c r="O11" s="11">
        <f>MAX(O3:O9)</f>
        <v>208.8</v>
      </c>
    </row>
    <row r="12" spans="1:16" ht="28.8" x14ac:dyDescent="0.3">
      <c r="A12" s="2" t="s">
        <v>13</v>
      </c>
      <c r="B12" s="3"/>
      <c r="C12" s="3"/>
      <c r="E12" s="2" t="s">
        <v>13</v>
      </c>
      <c r="F12" s="3"/>
      <c r="G12" s="3"/>
      <c r="M12" s="14"/>
      <c r="N12" s="15"/>
      <c r="O12" s="16"/>
    </row>
    <row r="13" spans="1:16" ht="15" thickBot="1" x14ac:dyDescent="0.35">
      <c r="A13" s="2">
        <v>1</v>
      </c>
      <c r="B13" s="2">
        <v>8</v>
      </c>
      <c r="C13" s="2">
        <v>202</v>
      </c>
      <c r="E13" s="2">
        <v>1</v>
      </c>
      <c r="F13" s="2">
        <v>7</v>
      </c>
      <c r="G13" s="2">
        <v>201</v>
      </c>
      <c r="M13" s="12" t="s">
        <v>27</v>
      </c>
      <c r="N13" s="13">
        <f>AVERAGE(N11,O10)</f>
        <v>105.5</v>
      </c>
      <c r="O13" s="17"/>
    </row>
    <row r="14" spans="1:16" x14ac:dyDescent="0.3">
      <c r="A14" s="2">
        <v>2</v>
      </c>
      <c r="B14" s="2">
        <v>9</v>
      </c>
      <c r="C14" s="2">
        <v>203</v>
      </c>
      <c r="E14" s="2">
        <v>2</v>
      </c>
      <c r="F14" s="2">
        <v>8</v>
      </c>
      <c r="G14" s="2">
        <v>207</v>
      </c>
    </row>
    <row r="15" spans="1:16" x14ac:dyDescent="0.3">
      <c r="A15" s="2">
        <v>3</v>
      </c>
      <c r="B15" s="2">
        <v>7</v>
      </c>
      <c r="C15" s="2">
        <v>195</v>
      </c>
      <c r="E15" s="2">
        <v>3</v>
      </c>
      <c r="F15" s="2">
        <v>9</v>
      </c>
      <c r="G15" s="2">
        <v>207</v>
      </c>
    </row>
    <row r="16" spans="1:16" x14ac:dyDescent="0.3">
      <c r="A16" s="2">
        <v>4</v>
      </c>
      <c r="B16" s="2">
        <v>9</v>
      </c>
      <c r="C16" s="2">
        <v>205</v>
      </c>
      <c r="E16" s="2">
        <v>4</v>
      </c>
      <c r="F16" s="2">
        <v>9</v>
      </c>
      <c r="G16" s="2">
        <v>206</v>
      </c>
    </row>
    <row r="17" spans="1:7" x14ac:dyDescent="0.3">
      <c r="A17" s="2">
        <v>5</v>
      </c>
      <c r="B17" s="2">
        <v>8</v>
      </c>
      <c r="C17" s="2">
        <v>203</v>
      </c>
      <c r="E17" s="2">
        <v>5</v>
      </c>
      <c r="F17" s="2">
        <v>10</v>
      </c>
      <c r="G17" s="2">
        <v>206</v>
      </c>
    </row>
    <row r="18" spans="1:7" x14ac:dyDescent="0.3">
      <c r="A18" s="2" t="s">
        <v>21</v>
      </c>
      <c r="B18" s="2">
        <f>AVERAGE(B13:B17)</f>
        <v>8.1999999999999993</v>
      </c>
      <c r="C18" s="2">
        <f t="shared" ref="C18:G18" si="2">AVERAGE(C13:C17)</f>
        <v>201.6</v>
      </c>
      <c r="E18" s="2" t="s">
        <v>21</v>
      </c>
      <c r="F18" s="2">
        <f t="shared" si="2"/>
        <v>8.6</v>
      </c>
      <c r="G18" s="2">
        <f t="shared" si="2"/>
        <v>205.4</v>
      </c>
    </row>
    <row r="20" spans="1:7" x14ac:dyDescent="0.3">
      <c r="A20" s="2" t="s">
        <v>18</v>
      </c>
      <c r="B20" s="2" t="s">
        <v>10</v>
      </c>
      <c r="C20" s="2" t="s">
        <v>11</v>
      </c>
      <c r="E20" s="2" t="s">
        <v>19</v>
      </c>
      <c r="F20" s="2" t="s">
        <v>10</v>
      </c>
      <c r="G20" s="2" t="s">
        <v>11</v>
      </c>
    </row>
    <row r="21" spans="1:7" ht="28.8" x14ac:dyDescent="0.3">
      <c r="A21" s="2" t="s">
        <v>13</v>
      </c>
      <c r="B21" s="3"/>
      <c r="C21" s="3"/>
      <c r="E21" s="2" t="s">
        <v>13</v>
      </c>
      <c r="F21" s="3"/>
      <c r="G21" s="3"/>
    </row>
    <row r="22" spans="1:7" x14ac:dyDescent="0.3">
      <c r="A22" s="2">
        <v>1</v>
      </c>
      <c r="B22" s="2">
        <v>11</v>
      </c>
      <c r="C22" s="2">
        <v>204</v>
      </c>
      <c r="E22" s="2">
        <v>1</v>
      </c>
      <c r="F22" s="2">
        <v>11</v>
      </c>
      <c r="G22" s="2">
        <v>206</v>
      </c>
    </row>
    <row r="23" spans="1:7" x14ac:dyDescent="0.3">
      <c r="A23" s="2">
        <v>2</v>
      </c>
      <c r="B23" s="2">
        <v>10</v>
      </c>
      <c r="C23" s="2">
        <v>212</v>
      </c>
      <c r="E23" s="2">
        <v>2</v>
      </c>
      <c r="F23" s="2">
        <v>9</v>
      </c>
      <c r="G23" s="2">
        <v>208</v>
      </c>
    </row>
    <row r="24" spans="1:7" x14ac:dyDescent="0.3">
      <c r="A24" s="2">
        <v>3</v>
      </c>
      <c r="B24" s="2">
        <v>8</v>
      </c>
      <c r="C24" s="2">
        <v>205</v>
      </c>
      <c r="E24" s="2">
        <v>3</v>
      </c>
      <c r="F24" s="2">
        <v>8</v>
      </c>
      <c r="G24" s="2">
        <v>211</v>
      </c>
    </row>
    <row r="25" spans="1:7" x14ac:dyDescent="0.3">
      <c r="A25" s="2">
        <v>4</v>
      </c>
      <c r="B25" s="2">
        <v>9</v>
      </c>
      <c r="C25" s="2">
        <v>212</v>
      </c>
      <c r="E25" s="2">
        <v>4</v>
      </c>
      <c r="F25" s="2">
        <v>8</v>
      </c>
      <c r="G25" s="2">
        <v>206</v>
      </c>
    </row>
    <row r="26" spans="1:7" x14ac:dyDescent="0.3">
      <c r="A26" s="2">
        <v>5</v>
      </c>
      <c r="B26" s="2">
        <v>7</v>
      </c>
      <c r="C26" s="2">
        <v>207</v>
      </c>
      <c r="E26" s="2">
        <v>5</v>
      </c>
      <c r="F26" s="2">
        <v>9</v>
      </c>
      <c r="G26" s="2">
        <v>213</v>
      </c>
    </row>
    <row r="27" spans="1:7" x14ac:dyDescent="0.3">
      <c r="A27" s="2" t="s">
        <v>21</v>
      </c>
      <c r="B27" s="2">
        <f>AVERAGE(B22:B26)</f>
        <v>9</v>
      </c>
      <c r="C27" s="2">
        <f t="shared" ref="C27:G27" si="3">AVERAGE(C22:C26)</f>
        <v>208</v>
      </c>
      <c r="E27" s="2" t="s">
        <v>21</v>
      </c>
      <c r="F27" s="2">
        <f t="shared" si="3"/>
        <v>9</v>
      </c>
      <c r="G27" s="2">
        <f t="shared" si="3"/>
        <v>208.8</v>
      </c>
    </row>
  </sheetData>
  <mergeCells count="2">
    <mergeCell ref="A1:C1"/>
    <mergeCell ref="F1:G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moteur</vt:lpstr>
      <vt:lpstr>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aurélien maltese</dc:creator>
  <cp:lastModifiedBy>aurélien maltese</cp:lastModifiedBy>
  <dcterms:created xsi:type="dcterms:W3CDTF">2015-06-05T18:19:34Z</dcterms:created>
  <dcterms:modified xsi:type="dcterms:W3CDTF">2026-03-09T11:14:56Z</dcterms:modified>
</cp:coreProperties>
</file>